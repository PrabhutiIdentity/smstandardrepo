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  <sheet name="Cloud Expance" sheetId="2" r:id="rId2"/>
  </sheets>
  <calcPr calcId="144525"/>
</workbook>
</file>

<file path=xl/sharedStrings.xml><?xml version="1.0" encoding="utf-8"?>
<sst xmlns="http://schemas.openxmlformats.org/spreadsheetml/2006/main" count="65" uniqueCount="51">
  <si>
    <t>Expense Details</t>
  </si>
  <si>
    <t>Sl.No.</t>
  </si>
  <si>
    <t>Item</t>
  </si>
  <si>
    <t>Months</t>
  </si>
  <si>
    <t>Number</t>
  </si>
  <si>
    <t>Cost PM</t>
  </si>
  <si>
    <t>Annual Expance</t>
  </si>
  <si>
    <t>Project Manager</t>
  </si>
  <si>
    <t>Architect</t>
  </si>
  <si>
    <t>Sr App Developer</t>
  </si>
  <si>
    <t>Sr Developer</t>
  </si>
  <si>
    <t>Developer</t>
  </si>
  <si>
    <t>Tele Calling/Support</t>
  </si>
  <si>
    <t>Markating Expances</t>
  </si>
  <si>
    <t>Cloud Expances</t>
  </si>
  <si>
    <t>Office Expances</t>
  </si>
  <si>
    <t>Infra Cost</t>
  </si>
  <si>
    <t>Total</t>
  </si>
  <si>
    <t>Microsoft Azure Estimate</t>
  </si>
  <si>
    <t>Your Estimate</t>
  </si>
  <si>
    <t>Service type</t>
  </si>
  <si>
    <t>Custom name</t>
  </si>
  <si>
    <t>Region</t>
  </si>
  <si>
    <t>Description</t>
  </si>
  <si>
    <t>Estimated monthly cost</t>
  </si>
  <si>
    <t>Estimated upfront cost</t>
  </si>
  <si>
    <t>App Service</t>
  </si>
  <si>
    <t/>
  </si>
  <si>
    <t>Central India</t>
  </si>
  <si>
    <t>Premium V3 Tier; 1 P2V3 (4 Core(s), 16 GB RAM, 250 GB Storage) x 730 Hours; Linux OS</t>
  </si>
  <si>
    <t>Storage Accounts</t>
  </si>
  <si>
    <t>Block Blob Storage, General Purpose V2, LRS Redundancy, Hot Access Tier, 50 GB Capacity - Pay as you go, 10 x 10,000 Write operations, 10 x 10,000 List and Create Container Operations, 10 x 10,000 Read operations, 1,00,000 Archive High Priority Read, 1 x 10,000 Other operations. 1,000 GB Data Retrieval, 1,000 GB Archive High Priority Retrieval, 1,000 GB Data Write</t>
  </si>
  <si>
    <t>Azure Functions</t>
  </si>
  <si>
    <t>Consumption tier, 128 MB memory, 1,00,000 milliseconds execution time, 1,00,000 executions/mo</t>
  </si>
  <si>
    <t>Content Delivery Network</t>
  </si>
  <si>
    <t>Zone 1: 0 GB, Zone 2: 0 GB, Zone 3: 0 GB, Zone 4: 0 GB, Zone 5: 10 GB, DSA: 0 GB</t>
  </si>
  <si>
    <t>Azure SQL Database</t>
  </si>
  <si>
    <t>East US</t>
  </si>
  <si>
    <t>Single Database, DTU Purchase Model, Standard Tier, S3: 100 DTUs, 250 GB included storage per DB, 1 Database(s) x 730 Hours, 5 GB Retention</t>
  </si>
  <si>
    <t>Service Bus</t>
  </si>
  <si>
    <t>Standard tier: 5, 0 Hybrid Connect listener(s) + 0 overage per GB, 0 relay hour(s), 0 relay message(s)</t>
  </si>
  <si>
    <t>Azure SignalR Service</t>
  </si>
  <si>
    <t>Standard, 1 Units x 730 Hours, 3 million messages</t>
  </si>
  <si>
    <t>Support</t>
  </si>
  <si>
    <t>Licensing Program</t>
  </si>
  <si>
    <t>Microsoft Customer Agreement (MCA)</t>
  </si>
  <si>
    <t>Billing Account</t>
  </si>
  <si>
    <t>Billing Profile</t>
  </si>
  <si>
    <t>Disclaimer</t>
  </si>
  <si>
    <t>All prices shown are in India – Rupee (₹) INR. This is a summary estimate, not a quote. For up to date pricing information please visit https://azure.microsoft.com/pricing/calculator/</t>
  </si>
  <si>
    <t>This estimate was created at 2/15/2022 2:38:28 PM UTC.</t>
  </si>
</sst>
</file>

<file path=xl/styles.xml><?xml version="1.0" encoding="utf-8"?>
<styleSheet xmlns="http://schemas.openxmlformats.org/spreadsheetml/2006/main">
  <numFmts count="6">
    <numFmt numFmtId="176" formatCode="[$₹]#,##0.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??_ ;_ @_ "/>
    <numFmt numFmtId="178" formatCode="_ * #,##0.00_ ;_ * \-#,##0.00_ ;_ * &quot;-&quot;??_ ;_ @_ "/>
    <numFmt numFmtId="179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name val="Segoe UI Light"/>
      <charset val="134"/>
    </font>
    <font>
      <sz val="11"/>
      <name val="Segoe UI Light"/>
      <charset val="134"/>
    </font>
    <font>
      <b/>
      <sz val="12"/>
      <name val="Segoe UI Light"/>
      <charset val="134"/>
    </font>
    <font>
      <b/>
      <sz val="11"/>
      <name val="Segoe UI Light"/>
      <charset val="134"/>
    </font>
    <font>
      <i/>
      <sz val="11"/>
      <name val="Segoe UI Light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 wrapText="1"/>
    </xf>
    <xf numFmtId="176" fontId="2" fillId="0" borderId="0" xfId="0" applyNumberFormat="1" applyFont="1" applyAlignment="1">
      <alignment horizontal="left" vertical="top"/>
    </xf>
    <xf numFmtId="0" fontId="3" fillId="0" borderId="0" xfId="0" applyNumberFormat="1" applyFont="1" applyAlignment="1">
      <alignment vertical="top"/>
    </xf>
    <xf numFmtId="0" fontId="4" fillId="2" borderId="0" xfId="0" applyNumberFormat="1" applyFont="1" applyFill="1" applyAlignment="1">
      <alignment vertical="top" wrapText="1"/>
    </xf>
    <xf numFmtId="176" fontId="4" fillId="2" borderId="0" xfId="0" applyNumberFormat="1" applyFont="1" applyFill="1" applyAlignment="1">
      <alignment horizontal="left" vertical="top"/>
    </xf>
    <xf numFmtId="0" fontId="4" fillId="0" borderId="0" xfId="0" applyNumberFormat="1" applyFont="1" applyAlignment="1">
      <alignment vertical="top" wrapText="1"/>
    </xf>
    <xf numFmtId="176" fontId="4" fillId="0" borderId="0" xfId="0" applyNumberFormat="1" applyFont="1" applyAlignment="1">
      <alignment horizontal="left" vertical="top"/>
    </xf>
    <xf numFmtId="0" fontId="4" fillId="0" borderId="1" xfId="0" applyNumberFormat="1" applyFont="1" applyBorder="1" applyAlignment="1">
      <alignment vertical="top" wrapText="1"/>
    </xf>
    <xf numFmtId="176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76" fontId="5" fillId="3" borderId="0" xfId="0" applyNumberFormat="1" applyFont="1" applyFill="1" applyAlignment="1">
      <alignment horizontal="left" vertical="top"/>
    </xf>
    <xf numFmtId="0" fontId="6" fillId="0" borderId="0" xfId="0" applyFont="1">
      <alignment vertical="center"/>
    </xf>
    <xf numFmtId="178" fontId="0" fillId="0" borderId="0" xfId="2">
      <alignment vertical="center"/>
    </xf>
    <xf numFmtId="177" fontId="0" fillId="0" borderId="0" xfId="2" applyNumberForma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78" fontId="6" fillId="0" borderId="2" xfId="2" applyFont="1" applyBorder="1">
      <alignment vertical="center"/>
    </xf>
    <xf numFmtId="177" fontId="6" fillId="0" borderId="2" xfId="2" applyNumberFormat="1" applyFont="1" applyBorder="1">
      <alignment vertical="center"/>
    </xf>
    <xf numFmtId="0" fontId="0" fillId="0" borderId="2" xfId="0" applyBorder="1">
      <alignment vertical="center"/>
    </xf>
    <xf numFmtId="178" fontId="0" fillId="0" borderId="2" xfId="2" applyBorder="1">
      <alignment vertical="center"/>
    </xf>
    <xf numFmtId="177" fontId="0" fillId="0" borderId="2" xfId="2" applyNumberFormat="1" applyBorder="1">
      <alignment vertical="center"/>
    </xf>
    <xf numFmtId="177" fontId="6" fillId="0" borderId="2" xfId="2" applyNumberFormat="1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2" sqref="A2"/>
    </sheetView>
  </sheetViews>
  <sheetFormatPr defaultColWidth="9.14285714285714" defaultRowHeight="15" outlineLevelCol="5"/>
  <cols>
    <col min="2" max="2" width="20.1428571428571" customWidth="1"/>
    <col min="5" max="5" width="11.7142857142857" style="14"/>
    <col min="6" max="6" width="17.2857142857143" style="15" customWidth="1"/>
  </cols>
  <sheetData>
    <row r="1" spans="1:6">
      <c r="A1" s="16" t="s">
        <v>0</v>
      </c>
      <c r="B1" s="17"/>
      <c r="C1" s="17"/>
      <c r="D1" s="17"/>
      <c r="E1" s="17"/>
      <c r="F1" s="17"/>
    </row>
    <row r="2" spans="1:6">
      <c r="A2" s="18" t="s">
        <v>1</v>
      </c>
      <c r="B2" s="18" t="s">
        <v>2</v>
      </c>
      <c r="C2" s="18" t="s">
        <v>3</v>
      </c>
      <c r="D2" s="18" t="s">
        <v>4</v>
      </c>
      <c r="E2" s="19" t="s">
        <v>5</v>
      </c>
      <c r="F2" s="20" t="s">
        <v>6</v>
      </c>
    </row>
    <row r="3" spans="1:6">
      <c r="A3" s="21">
        <v>1</v>
      </c>
      <c r="B3" s="21" t="s">
        <v>7</v>
      </c>
      <c r="C3" s="21">
        <v>12</v>
      </c>
      <c r="D3" s="21">
        <v>1</v>
      </c>
      <c r="E3" s="22">
        <v>100000</v>
      </c>
      <c r="F3" s="23">
        <f>E3*C3*D3</f>
        <v>1200000</v>
      </c>
    </row>
    <row r="4" spans="1:6">
      <c r="A4" s="21">
        <v>2</v>
      </c>
      <c r="B4" s="21" t="s">
        <v>8</v>
      </c>
      <c r="C4" s="21">
        <v>3</v>
      </c>
      <c r="D4" s="21">
        <v>1</v>
      </c>
      <c r="E4" s="22">
        <v>150000</v>
      </c>
      <c r="F4" s="23">
        <f>E4*C4*D4</f>
        <v>450000</v>
      </c>
    </row>
    <row r="5" spans="1:6">
      <c r="A5" s="21">
        <v>3</v>
      </c>
      <c r="B5" s="21" t="s">
        <v>9</v>
      </c>
      <c r="C5" s="21">
        <v>12</v>
      </c>
      <c r="D5" s="21">
        <v>1</v>
      </c>
      <c r="E5" s="22">
        <v>70000</v>
      </c>
      <c r="F5" s="23">
        <f>E5*C5*D5</f>
        <v>840000</v>
      </c>
    </row>
    <row r="6" spans="1:6">
      <c r="A6" s="21">
        <v>4</v>
      </c>
      <c r="B6" s="21" t="s">
        <v>10</v>
      </c>
      <c r="C6" s="21">
        <v>12</v>
      </c>
      <c r="D6" s="21">
        <v>2</v>
      </c>
      <c r="E6" s="22">
        <v>60000</v>
      </c>
      <c r="F6" s="23">
        <f>E6*C6*D6</f>
        <v>1440000</v>
      </c>
    </row>
    <row r="7" spans="1:6">
      <c r="A7" s="21">
        <v>5</v>
      </c>
      <c r="B7" s="21" t="s">
        <v>11</v>
      </c>
      <c r="C7" s="21">
        <v>12</v>
      </c>
      <c r="D7" s="21">
        <v>2</v>
      </c>
      <c r="E7" s="22">
        <v>30000</v>
      </c>
      <c r="F7" s="23">
        <f>E7*C7*D7</f>
        <v>720000</v>
      </c>
    </row>
    <row r="8" spans="1:6">
      <c r="A8" s="21">
        <v>6</v>
      </c>
      <c r="B8" s="21" t="s">
        <v>12</v>
      </c>
      <c r="C8" s="21">
        <v>12</v>
      </c>
      <c r="D8" s="21">
        <v>4</v>
      </c>
      <c r="E8" s="22">
        <v>20000</v>
      </c>
      <c r="F8" s="23">
        <f>E8*C8*D8</f>
        <v>960000</v>
      </c>
    </row>
    <row r="9" spans="1:6">
      <c r="A9" s="21">
        <v>7</v>
      </c>
      <c r="B9" s="21" t="s">
        <v>13</v>
      </c>
      <c r="C9" s="21">
        <v>12</v>
      </c>
      <c r="D9" s="21">
        <v>1</v>
      </c>
      <c r="E9" s="22">
        <v>50000</v>
      </c>
      <c r="F9" s="23">
        <f>E9*C9*D9</f>
        <v>600000</v>
      </c>
    </row>
    <row r="10" spans="1:6">
      <c r="A10" s="21">
        <v>8</v>
      </c>
      <c r="B10" s="21" t="s">
        <v>14</v>
      </c>
      <c r="C10" s="21">
        <v>12</v>
      </c>
      <c r="D10" s="21">
        <v>1</v>
      </c>
      <c r="E10" s="22">
        <v>40000</v>
      </c>
      <c r="F10" s="23">
        <f>E10*C10*D10</f>
        <v>480000</v>
      </c>
    </row>
    <row r="11" spans="1:6">
      <c r="A11" s="21">
        <v>9</v>
      </c>
      <c r="B11" s="21" t="s">
        <v>15</v>
      </c>
      <c r="C11" s="21">
        <v>12</v>
      </c>
      <c r="D11" s="21">
        <v>1</v>
      </c>
      <c r="E11" s="22">
        <v>80000</v>
      </c>
      <c r="F11" s="23">
        <f>E11*C11*D11</f>
        <v>960000</v>
      </c>
    </row>
    <row r="12" spans="1:6">
      <c r="A12" s="21">
        <v>10</v>
      </c>
      <c r="B12" s="21" t="s">
        <v>16</v>
      </c>
      <c r="C12" s="21">
        <v>1</v>
      </c>
      <c r="D12" s="21">
        <v>1</v>
      </c>
      <c r="E12" s="22">
        <v>60000</v>
      </c>
      <c r="F12" s="23">
        <f>E12*C12*D12</f>
        <v>60000</v>
      </c>
    </row>
    <row r="13" s="13" customFormat="1" spans="1:6">
      <c r="A13" s="16" t="s">
        <v>17</v>
      </c>
      <c r="B13" s="17"/>
      <c r="C13" s="17"/>
      <c r="D13" s="17"/>
      <c r="E13" s="17"/>
      <c r="F13" s="24">
        <f>SUM(F3:F12)</f>
        <v>7710000</v>
      </c>
    </row>
  </sheetData>
  <mergeCells count="2">
    <mergeCell ref="A1:F1"/>
    <mergeCell ref="A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.14285714285714" defaultRowHeight="15" outlineLevelCol="5"/>
  <cols>
    <col min="1" max="1" width="17.5714285714286" customWidth="1"/>
    <col min="2" max="2" width="8.28571428571429" customWidth="1"/>
    <col min="3" max="3" width="7.71428571428571" customWidth="1"/>
    <col min="4" max="4" width="61.1428571428571" customWidth="1"/>
    <col min="5" max="5" width="44" customWidth="1"/>
    <col min="6" max="6" width="26.2857142857143" customWidth="1"/>
  </cols>
  <sheetData>
    <row r="1" ht="20.25" spans="1:6">
      <c r="A1" s="1" t="s">
        <v>18</v>
      </c>
      <c r="B1" s="2"/>
      <c r="C1" s="2"/>
      <c r="D1" s="2"/>
      <c r="E1" s="3"/>
      <c r="F1" s="3"/>
    </row>
    <row r="2" ht="17.25" spans="1:6">
      <c r="A2" s="4" t="s">
        <v>19</v>
      </c>
      <c r="B2" s="2"/>
      <c r="C2" s="2"/>
      <c r="D2" s="2"/>
      <c r="E2" s="3"/>
      <c r="F2" s="3"/>
    </row>
    <row r="3" ht="33" spans="1:6">
      <c r="A3" s="5" t="s">
        <v>20</v>
      </c>
      <c r="B3" s="5" t="s">
        <v>21</v>
      </c>
      <c r="C3" s="5" t="s">
        <v>22</v>
      </c>
      <c r="D3" s="5" t="s">
        <v>23</v>
      </c>
      <c r="E3" s="6" t="s">
        <v>24</v>
      </c>
      <c r="F3" s="6" t="s">
        <v>25</v>
      </c>
    </row>
    <row r="4" ht="33" spans="1:6">
      <c r="A4" s="2" t="s">
        <v>26</v>
      </c>
      <c r="B4" s="2" t="s">
        <v>27</v>
      </c>
      <c r="C4" s="2" t="s">
        <v>28</v>
      </c>
      <c r="D4" s="2" t="s">
        <v>29</v>
      </c>
      <c r="E4" s="3">
        <v>17976.5565701679</v>
      </c>
      <c r="F4" s="3">
        <v>0</v>
      </c>
    </row>
    <row r="5" ht="99" spans="1:6">
      <c r="A5" s="2" t="s">
        <v>30</v>
      </c>
      <c r="B5" s="2" t="s">
        <v>27</v>
      </c>
      <c r="C5" s="2" t="s">
        <v>28</v>
      </c>
      <c r="D5" s="2" t="s">
        <v>31</v>
      </c>
      <c r="E5" s="3">
        <v>161.296500732328</v>
      </c>
      <c r="F5" s="3">
        <v>0</v>
      </c>
    </row>
    <row r="6" ht="33" spans="1:6">
      <c r="A6" s="2" t="s">
        <v>32</v>
      </c>
      <c r="B6" s="2" t="s">
        <v>27</v>
      </c>
      <c r="C6" s="2" t="s">
        <v>28</v>
      </c>
      <c r="D6" s="2" t="s">
        <v>33</v>
      </c>
      <c r="E6" s="3">
        <v>1021.05399830556</v>
      </c>
      <c r="F6" s="3">
        <v>0</v>
      </c>
    </row>
    <row r="7" ht="33" spans="1:6">
      <c r="A7" s="2" t="s">
        <v>34</v>
      </c>
      <c r="B7" s="2" t="s">
        <v>27</v>
      </c>
      <c r="C7" s="2"/>
      <c r="D7" s="2" t="s">
        <v>35</v>
      </c>
      <c r="E7" s="3">
        <v>118.622449803146</v>
      </c>
      <c r="F7" s="3">
        <v>0</v>
      </c>
    </row>
    <row r="8" ht="49.5" spans="1:6">
      <c r="A8" s="2" t="s">
        <v>36</v>
      </c>
      <c r="B8" s="2" t="s">
        <v>27</v>
      </c>
      <c r="C8" s="2" t="s">
        <v>37</v>
      </c>
      <c r="D8" s="2" t="s">
        <v>38</v>
      </c>
      <c r="E8" s="3">
        <v>11052.0367557216</v>
      </c>
      <c r="F8" s="3">
        <v>0</v>
      </c>
    </row>
    <row r="9" ht="33" spans="1:6">
      <c r="A9" s="2" t="s">
        <v>39</v>
      </c>
      <c r="B9" s="2" t="s">
        <v>27</v>
      </c>
      <c r="C9" s="2" t="s">
        <v>37</v>
      </c>
      <c r="D9" s="2" t="s">
        <v>40</v>
      </c>
      <c r="E9" s="3">
        <v>736.655173352521</v>
      </c>
      <c r="F9" s="3">
        <v>0</v>
      </c>
    </row>
    <row r="10" ht="33" spans="1:6">
      <c r="A10" s="2" t="s">
        <v>41</v>
      </c>
      <c r="B10" s="2" t="s">
        <v>27</v>
      </c>
      <c r="C10" s="2" t="s">
        <v>37</v>
      </c>
      <c r="D10" s="2" t="s">
        <v>42</v>
      </c>
      <c r="E10" s="3">
        <v>3676.607733482</v>
      </c>
      <c r="F10" s="3">
        <v>0</v>
      </c>
    </row>
    <row r="11" ht="16.5" spans="1:6">
      <c r="A11" s="2" t="s">
        <v>43</v>
      </c>
      <c r="B11" s="2"/>
      <c r="C11" s="2"/>
      <c r="D11" s="7" t="s">
        <v>43</v>
      </c>
      <c r="E11" s="3">
        <v>0</v>
      </c>
      <c r="F11" s="3">
        <v>0</v>
      </c>
    </row>
    <row r="12" ht="16.5" spans="1:6">
      <c r="A12" s="2"/>
      <c r="B12" s="2"/>
      <c r="C12" s="2"/>
      <c r="D12" s="7" t="s">
        <v>44</v>
      </c>
      <c r="E12" s="8" t="s">
        <v>45</v>
      </c>
      <c r="F12" s="3"/>
    </row>
    <row r="13" ht="16.5" spans="1:6">
      <c r="A13" s="2"/>
      <c r="B13" s="2"/>
      <c r="C13" s="2"/>
      <c r="D13" s="7" t="s">
        <v>46</v>
      </c>
      <c r="E13" s="8" t="s">
        <v>27</v>
      </c>
      <c r="F13" s="3"/>
    </row>
    <row r="14" ht="16.5" spans="1:6">
      <c r="A14" s="2"/>
      <c r="B14" s="2"/>
      <c r="C14" s="2"/>
      <c r="D14" s="7" t="s">
        <v>47</v>
      </c>
      <c r="E14" s="8" t="s">
        <v>27</v>
      </c>
      <c r="F14" s="3"/>
    </row>
    <row r="15" ht="16.5" spans="1:6">
      <c r="A15" s="2"/>
      <c r="B15" s="2"/>
      <c r="C15" s="2"/>
      <c r="D15" s="9" t="s">
        <v>17</v>
      </c>
      <c r="E15" s="10">
        <v>34742.8291815651</v>
      </c>
      <c r="F15" s="10">
        <v>0</v>
      </c>
    </row>
    <row r="16" ht="16.5" spans="1:6">
      <c r="A16" s="2"/>
      <c r="B16" s="2"/>
      <c r="C16" s="2"/>
      <c r="D16" s="2"/>
      <c r="E16" s="3"/>
      <c r="F16" s="3"/>
    </row>
    <row r="17" ht="16.5" spans="1:6">
      <c r="A17" s="7" t="s">
        <v>48</v>
      </c>
      <c r="B17" s="2"/>
      <c r="C17" s="2"/>
      <c r="D17" s="2"/>
      <c r="E17" s="3"/>
      <c r="F17" s="3"/>
    </row>
    <row r="18" ht="16.5" spans="1:6">
      <c r="A18" s="11" t="s">
        <v>49</v>
      </c>
      <c r="B18" s="11"/>
      <c r="C18" s="11"/>
      <c r="D18" s="11"/>
      <c r="E18" s="12"/>
      <c r="F18" s="12"/>
    </row>
    <row r="19" ht="16.5" spans="1:6">
      <c r="A19" s="11" t="s">
        <v>50</v>
      </c>
      <c r="B19" s="11"/>
      <c r="C19" s="11"/>
      <c r="D19" s="11"/>
      <c r="E19" s="12"/>
      <c r="F19" s="12"/>
    </row>
    <row r="20" ht="16.5" spans="1:6">
      <c r="A20" s="11"/>
      <c r="B20" s="11"/>
      <c r="C20" s="11"/>
      <c r="D20" s="11"/>
      <c r="E20" s="12"/>
      <c r="F20" s="12"/>
    </row>
  </sheetData>
  <mergeCells count="4">
    <mergeCell ref="A1:C1"/>
    <mergeCell ref="A2:C2"/>
    <mergeCell ref="A18:F18"/>
    <mergeCell ref="A19:F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Cloud Expance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2022-02-15T14:23:03Z</dcterms:created>
  <dcterms:modified xsi:type="dcterms:W3CDTF">2022-02-15T14:43:44Z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99729571EBBA4893B5A5C26561ACDE73</vt:lpwstr>
  </property>
  <property fmtid="{D5CDD505-2E9C-101B-9397-08002B2CF9AE}" pid="3" name="KSOProductBuildVer">
    <vt:lpwstr>1033-11.2.0.10463</vt:lpwstr>
  </property>
</Properties>
</file>